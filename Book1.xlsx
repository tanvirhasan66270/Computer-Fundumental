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9264" activeTab="2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2" i="3"/>
  <c r="C4" i="3"/>
  <c r="C2" i="3"/>
  <c r="C3" i="3"/>
  <c r="C5" i="3"/>
  <c r="B5" i="3" s="1"/>
  <c r="C6" i="3"/>
  <c r="B6" i="3" s="1"/>
  <c r="C7" i="3"/>
  <c r="C8" i="3"/>
  <c r="C9" i="3"/>
  <c r="B9" i="3" s="1"/>
  <c r="C10" i="3"/>
  <c r="B10" i="3" s="1"/>
  <c r="C11" i="3"/>
  <c r="C12" i="3"/>
  <c r="C13" i="3"/>
  <c r="B13" i="3" s="1"/>
  <c r="C14" i="3"/>
  <c r="B14" i="3" s="1"/>
  <c r="C15" i="3"/>
  <c r="C16" i="3"/>
  <c r="C17" i="3"/>
  <c r="B17" i="3" s="1"/>
  <c r="C18" i="3"/>
  <c r="B18" i="3" s="1"/>
  <c r="C19" i="3"/>
  <c r="C20" i="3"/>
  <c r="C21" i="3"/>
  <c r="B21" i="3" s="1"/>
  <c r="C22" i="3"/>
  <c r="B22" i="3" s="1"/>
  <c r="C23" i="3"/>
  <c r="C24" i="3"/>
  <c r="C25" i="3"/>
  <c r="B25" i="3" s="1"/>
  <c r="C26" i="3"/>
  <c r="B26" i="3" s="1"/>
  <c r="C27" i="3"/>
  <c r="C28" i="3"/>
  <c r="B28" i="3" s="1"/>
  <c r="C29" i="3"/>
  <c r="B29" i="3" s="1"/>
  <c r="C30" i="3"/>
  <c r="B30" i="3" s="1"/>
  <c r="C31" i="3"/>
  <c r="C32" i="3"/>
  <c r="C33" i="3"/>
  <c r="B33" i="3" s="1"/>
  <c r="C34" i="3"/>
  <c r="B34" i="3" s="1"/>
  <c r="C35" i="3"/>
  <c r="C36" i="3"/>
  <c r="C37" i="3"/>
  <c r="B37" i="3" s="1"/>
  <c r="C38" i="3"/>
  <c r="B38" i="3" s="1"/>
  <c r="C39" i="3"/>
  <c r="C40" i="3"/>
  <c r="C41" i="3"/>
  <c r="B41" i="3" s="1"/>
  <c r="C42" i="3"/>
  <c r="B42" i="3" s="1"/>
  <c r="C43" i="3"/>
  <c r="C44" i="3"/>
  <c r="C45" i="3"/>
  <c r="B45" i="3" s="1"/>
  <c r="C46" i="3"/>
  <c r="B46" i="3" s="1"/>
  <c r="C47" i="3"/>
  <c r="C48" i="3"/>
  <c r="C49" i="3"/>
  <c r="B49" i="3" s="1"/>
  <c r="C50" i="3"/>
  <c r="B50" i="3" s="1"/>
  <c r="C51" i="3"/>
  <c r="B3" i="3"/>
  <c r="B4" i="3"/>
  <c r="B7" i="3"/>
  <c r="B8" i="3"/>
  <c r="B11" i="3"/>
  <c r="B12" i="3"/>
  <c r="B15" i="3"/>
  <c r="B16" i="3"/>
  <c r="B19" i="3"/>
  <c r="B20" i="3"/>
  <c r="B23" i="3"/>
  <c r="B24" i="3"/>
  <c r="B27" i="3"/>
  <c r="B31" i="3"/>
  <c r="B32" i="3"/>
  <c r="B35" i="3"/>
  <c r="B36" i="3"/>
  <c r="B39" i="3"/>
  <c r="B40" i="3"/>
  <c r="B43" i="3"/>
  <c r="B44" i="3"/>
  <c r="B47" i="3"/>
  <c r="B48" i="3"/>
  <c r="B51" i="3"/>
  <c r="B2" i="3" l="1"/>
</calcChain>
</file>

<file path=xl/sharedStrings.xml><?xml version="1.0" encoding="utf-8"?>
<sst xmlns="http://schemas.openxmlformats.org/spreadsheetml/2006/main" count="29" uniqueCount="28">
  <si>
    <t>Bodrul</t>
  </si>
  <si>
    <t>Shaharan hossain</t>
  </si>
  <si>
    <t>Rehena</t>
  </si>
  <si>
    <t>Tanvir</t>
  </si>
  <si>
    <t>sabbir</t>
  </si>
  <si>
    <t>Mahbub</t>
  </si>
  <si>
    <t>Emon</t>
  </si>
  <si>
    <t>Sajin</t>
  </si>
  <si>
    <t>Simul</t>
  </si>
  <si>
    <t>Masud</t>
  </si>
  <si>
    <t>Sadia</t>
  </si>
  <si>
    <t>Hasan</t>
  </si>
  <si>
    <t>Miskatul</t>
  </si>
  <si>
    <t>Jui</t>
  </si>
  <si>
    <t>Roll</t>
  </si>
  <si>
    <t>Name</t>
  </si>
  <si>
    <t>Attandance</t>
  </si>
  <si>
    <t>Condition</t>
  </si>
  <si>
    <t>Date-16/11/2025</t>
  </si>
  <si>
    <t>P</t>
  </si>
  <si>
    <t>Bill rate</t>
  </si>
  <si>
    <t xml:space="preserve">Bill </t>
  </si>
  <si>
    <t>Unit</t>
  </si>
  <si>
    <t>80=2.50</t>
  </si>
  <si>
    <t>5=150</t>
  </si>
  <si>
    <t>10=210</t>
  </si>
  <si>
    <t>13=240</t>
  </si>
  <si>
    <t>15=250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</si>
</sst>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1" applyNumberFormat="0" applyAlignment="0" applyProtection="0"/>
    <xf numFmtId="0" fontId="6" fillId="5" borderId="2" applyNumberFormat="0" applyAlignment="0" applyProtection="0"/>
  </cellStyleXfs>
  <cellXfs count="12">
    <xf numFmtId="0" fontId="0" fillId="0" borderId="0" xfId="0"/>
    <xf numFmtId="0" fontId="5" fillId="4" borderId="1" xfId="3"/>
    <xf numFmtId="0" fontId="5" fillId="4" borderId="4" xfId="3" applyBorder="1"/>
    <xf numFmtId="0" fontId="6" fillId="5" borderId="3" xfId="4" applyBorder="1"/>
    <xf numFmtId="0" fontId="5" fillId="4" borderId="3" xfId="3" applyBorder="1"/>
    <xf numFmtId="0" fontId="4" fillId="3" borderId="3" xfId="2" applyBorder="1"/>
    <xf numFmtId="0" fontId="3" fillId="2" borderId="3" xfId="1" applyBorder="1"/>
    <xf numFmtId="0" fontId="4" fillId="3" borderId="3" xfId="2" applyBorder="1" applyAlignment="1">
      <alignment horizontal="center"/>
    </xf>
    <xf numFmtId="0" fontId="1" fillId="6" borderId="3" xfId="0" applyFont="1" applyFill="1" applyBorder="1" applyAlignment="1">
      <alignment horizontal="center" vertical="top"/>
    </xf>
    <xf numFmtId="0" fontId="1" fillId="7" borderId="3" xfId="0" applyFont="1" applyFill="1" applyBorder="1" applyAlignment="1">
      <alignment horizontal="center" vertical="top"/>
    </xf>
    <xf numFmtId="0" fontId="2" fillId="7" borderId="3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5">
    <cellStyle name="Calculation" xfId="3" builtinId="22"/>
    <cellStyle name="Check Cell" xfId="4" builtinId="23"/>
    <cellStyle name="Good" xfId="1" builtinId="26"/>
    <cellStyle name="Neutral" xfId="2" builtinId="28"/>
    <cellStyle name="Normal" xfId="0" builtinId="0"/>
  </cellStyles>
  <dxfs count="10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zoomScale="160" zoomScaleNormal="160" workbookViewId="0">
      <selection activeCell="C5" sqref="C5"/>
    </sheetView>
  </sheetViews>
  <sheetFormatPr defaultRowHeight="14.4" x14ac:dyDescent="0.3"/>
  <cols>
    <col min="1" max="1" width="8.109375" customWidth="1"/>
    <col min="2" max="2" width="15.88671875" style="1" bestFit="1" customWidth="1"/>
    <col min="3" max="3" width="10.33203125" bestFit="1" customWidth="1"/>
    <col min="4" max="4" width="14.44140625" customWidth="1"/>
  </cols>
  <sheetData>
    <row r="1" spans="1:4" ht="31.8" customHeight="1" x14ac:dyDescent="0.3">
      <c r="A1" s="8" t="s">
        <v>16</v>
      </c>
      <c r="B1" s="8"/>
      <c r="C1" s="8"/>
      <c r="D1" s="8"/>
    </row>
    <row r="2" spans="1:4" ht="21.6" customHeight="1" x14ac:dyDescent="0.3">
      <c r="A2" s="9" t="s">
        <v>18</v>
      </c>
      <c r="B2" s="10"/>
      <c r="C2" s="10"/>
      <c r="D2" s="10"/>
    </row>
    <row r="3" spans="1:4" x14ac:dyDescent="0.3">
      <c r="A3" s="3" t="s">
        <v>14</v>
      </c>
      <c r="B3" s="4" t="s">
        <v>15</v>
      </c>
      <c r="C3" s="5" t="s">
        <v>16</v>
      </c>
      <c r="D3" s="6" t="s">
        <v>17</v>
      </c>
    </row>
    <row r="4" spans="1:4" x14ac:dyDescent="0.3">
      <c r="A4" s="3">
        <v>1294025</v>
      </c>
      <c r="B4" s="4" t="s">
        <v>0</v>
      </c>
      <c r="C4" s="7" t="s">
        <v>19</v>
      </c>
      <c r="D4" s="6"/>
    </row>
    <row r="5" spans="1:4" x14ac:dyDescent="0.3">
      <c r="A5" s="3">
        <v>1294111</v>
      </c>
      <c r="B5" s="4" t="s">
        <v>1</v>
      </c>
      <c r="C5" s="7"/>
      <c r="D5" s="6"/>
    </row>
    <row r="6" spans="1:4" x14ac:dyDescent="0.3">
      <c r="A6" s="3">
        <v>1294118</v>
      </c>
      <c r="B6" s="4" t="s">
        <v>2</v>
      </c>
      <c r="C6" s="7"/>
      <c r="D6" s="6"/>
    </row>
    <row r="7" spans="1:4" x14ac:dyDescent="0.3">
      <c r="A7" s="3">
        <v>1294174</v>
      </c>
      <c r="B7" s="4" t="s">
        <v>3</v>
      </c>
      <c r="C7" s="7"/>
      <c r="D7" s="6"/>
    </row>
    <row r="8" spans="1:4" x14ac:dyDescent="0.3">
      <c r="A8" s="3">
        <v>1294187</v>
      </c>
      <c r="B8" s="4" t="s">
        <v>4</v>
      </c>
      <c r="C8" s="7"/>
      <c r="D8" s="6"/>
    </row>
    <row r="9" spans="1:4" x14ac:dyDescent="0.3">
      <c r="A9" s="3">
        <v>1294343</v>
      </c>
      <c r="B9" s="4" t="s">
        <v>5</v>
      </c>
      <c r="C9" s="7"/>
      <c r="D9" s="6"/>
    </row>
    <row r="10" spans="1:4" x14ac:dyDescent="0.3">
      <c r="A10" s="3">
        <v>1294428</v>
      </c>
      <c r="B10" s="4" t="s">
        <v>6</v>
      </c>
      <c r="C10" s="7"/>
      <c r="D10" s="6"/>
    </row>
    <row r="11" spans="1:4" x14ac:dyDescent="0.3">
      <c r="A11" s="3">
        <v>1294544</v>
      </c>
      <c r="B11" s="4" t="s">
        <v>7</v>
      </c>
      <c r="C11" s="7"/>
      <c r="D11" s="6"/>
    </row>
    <row r="12" spans="1:4" x14ac:dyDescent="0.3">
      <c r="A12" s="3">
        <v>1294563</v>
      </c>
      <c r="B12" s="4" t="s">
        <v>8</v>
      </c>
      <c r="C12" s="7"/>
      <c r="D12" s="6"/>
    </row>
    <row r="13" spans="1:4" x14ac:dyDescent="0.3">
      <c r="A13" s="3">
        <v>1294623</v>
      </c>
      <c r="B13" s="4" t="s">
        <v>9</v>
      </c>
      <c r="C13" s="7"/>
      <c r="D13" s="6"/>
    </row>
    <row r="14" spans="1:4" x14ac:dyDescent="0.3">
      <c r="A14" s="3">
        <v>1294647</v>
      </c>
      <c r="B14" s="4" t="s">
        <v>10</v>
      </c>
      <c r="C14" s="7"/>
      <c r="D14" s="6"/>
    </row>
    <row r="15" spans="1:4" x14ac:dyDescent="0.3">
      <c r="A15" s="3">
        <v>1294698</v>
      </c>
      <c r="B15" s="4" t="s">
        <v>11</v>
      </c>
      <c r="C15" s="7"/>
      <c r="D15" s="6"/>
    </row>
    <row r="16" spans="1:4" x14ac:dyDescent="0.3">
      <c r="A16" s="3">
        <v>1294711</v>
      </c>
      <c r="B16" s="4" t="s">
        <v>12</v>
      </c>
      <c r="C16" s="7"/>
      <c r="D16" s="6"/>
    </row>
    <row r="17" spans="1:4" x14ac:dyDescent="0.3">
      <c r="A17" s="3">
        <v>1294725</v>
      </c>
      <c r="B17" s="4" t="s">
        <v>13</v>
      </c>
      <c r="C17" s="7"/>
      <c r="D17" s="6"/>
    </row>
    <row r="18" spans="1:4" x14ac:dyDescent="0.3">
      <c r="A18" s="3">
        <v>1294124</v>
      </c>
      <c r="B18" s="4"/>
      <c r="C18" s="7"/>
      <c r="D18" s="6"/>
    </row>
    <row r="19" spans="1:4" x14ac:dyDescent="0.3">
      <c r="B19" s="2"/>
    </row>
  </sheetData>
  <mergeCells count="2">
    <mergeCell ref="A1:D1"/>
    <mergeCell ref="A2:D2"/>
  </mergeCells>
  <dataValidations count="2">
    <dataValidation type="list" allowBlank="1" showInputMessage="1" showErrorMessage="1" sqref="C4:C18">
      <formula1>"A,P"</formula1>
    </dataValidation>
    <dataValidation type="list" allowBlank="1" showInputMessage="1" showErrorMessage="1" sqref="D4:D18">
      <formula1>"NO Problem. , NO Question. , Solve , Net Problem"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75" zoomScaleNormal="175" workbookViewId="0">
      <selection activeCell="B2" sqref="B2"/>
    </sheetView>
  </sheetViews>
  <sheetFormatPr defaultRowHeight="14.4" x14ac:dyDescent="0.3"/>
  <sheetData/>
  <conditionalFormatting sqref="A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{D5AE05F5-4746-49CB-A918-96AD81333A00}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AE05F5-4746-49CB-A918-96AD81333A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zoomScale="115" zoomScaleNormal="115" workbookViewId="0">
      <selection activeCell="E7" sqref="E7"/>
    </sheetView>
  </sheetViews>
  <sheetFormatPr defaultRowHeight="14.4" x14ac:dyDescent="0.3"/>
  <cols>
    <col min="3" max="3" width="15.109375" customWidth="1"/>
  </cols>
  <sheetData>
    <row r="1" spans="1:5" x14ac:dyDescent="0.3">
      <c r="A1" s="11" t="s">
        <v>22</v>
      </c>
      <c r="B1" s="11" t="s">
        <v>20</v>
      </c>
      <c r="C1" s="11" t="s">
        <v>21</v>
      </c>
    </row>
    <row r="2" spans="1:5" x14ac:dyDescent="0.3">
      <c r="A2" s="11">
        <v>50</v>
      </c>
      <c r="B2">
        <f>C2/A2</f>
        <v>2.5</v>
      </c>
      <c r="C2">
        <f>IF(A2&lt;80,A2*2.5,IF(A2&lt;150,A2*5,IF(A2&lt;210,A2*10,IF(A2&lt;240,A2*13,IF(A2&lt;=250,A2*15,A2*20)))))</f>
        <v>125</v>
      </c>
      <c r="D2" t="str">
        <f>IF(A2&lt;80,"Emon",IF(A2&lt;150,"Bodrul",IF(A2&lt;210,"PK",IF(A2&lt;240,"Jui",IF(A2&lt;=250,"Miskatul","Rehana")))))</f>
        <v>Emon</v>
      </c>
      <c r="E2" t="s">
        <v>23</v>
      </c>
    </row>
    <row r="3" spans="1:5" x14ac:dyDescent="0.3">
      <c r="A3" s="11">
        <v>255</v>
      </c>
      <c r="B3">
        <f t="shared" ref="B3:B51" si="0">C3/A3</f>
        <v>20</v>
      </c>
      <c r="C3">
        <f t="shared" ref="C3:C51" si="1">IF(A3&lt;80,A3*2.5,IF(A3&lt;150,A3*5,IF(A3&lt;210,A3*10,IF(A3&lt;240,A3*13,IF(A3&lt;=250,A3*15,A3*20)))))</f>
        <v>5100</v>
      </c>
      <c r="D3" t="str">
        <f t="shared" ref="D3:D51" si="2">IF(A3&lt;80,"Emon",IF(A3&lt;150,"Bodrul",IF(A3&lt;210,"PK",IF(A3&lt;240,"Jui",IF(A3&lt;=250,"Miskatul","Rehana")))))</f>
        <v>Rehana</v>
      </c>
      <c r="E3" t="s">
        <v>24</v>
      </c>
    </row>
    <row r="4" spans="1:5" x14ac:dyDescent="0.3">
      <c r="A4" s="11">
        <v>60</v>
      </c>
      <c r="B4">
        <f t="shared" si="0"/>
        <v>2.5</v>
      </c>
      <c r="C4">
        <f>IF(A4&lt;80,A4*2.5,IF(A4&lt;150,A4*5,IF(A4&lt;210,A4*10,IF(A4&lt;240,A4*13,IF(A4&lt;=250,A4*15,A4*20)))))</f>
        <v>150</v>
      </c>
      <c r="D4" t="str">
        <f t="shared" si="2"/>
        <v>Emon</v>
      </c>
      <c r="E4" t="s">
        <v>25</v>
      </c>
    </row>
    <row r="5" spans="1:5" x14ac:dyDescent="0.3">
      <c r="A5" s="11">
        <v>105</v>
      </c>
      <c r="B5">
        <f t="shared" si="0"/>
        <v>5</v>
      </c>
      <c r="C5">
        <f t="shared" si="1"/>
        <v>525</v>
      </c>
      <c r="D5" t="str">
        <f t="shared" si="2"/>
        <v>Bodrul</v>
      </c>
      <c r="E5" t="s">
        <v>26</v>
      </c>
    </row>
    <row r="6" spans="1:5" x14ac:dyDescent="0.3">
      <c r="A6" s="11">
        <v>70</v>
      </c>
      <c r="B6">
        <f t="shared" si="0"/>
        <v>2.5</v>
      </c>
      <c r="C6">
        <f t="shared" si="1"/>
        <v>175</v>
      </c>
      <c r="D6" t="str">
        <f t="shared" si="2"/>
        <v>Emon</v>
      </c>
      <c r="E6" t="s">
        <v>27</v>
      </c>
    </row>
    <row r="7" spans="1:5" x14ac:dyDescent="0.3">
      <c r="A7" s="11">
        <v>75</v>
      </c>
      <c r="B7">
        <f t="shared" si="0"/>
        <v>2.5</v>
      </c>
      <c r="C7">
        <f t="shared" si="1"/>
        <v>187.5</v>
      </c>
      <c r="D7" t="str">
        <f t="shared" si="2"/>
        <v>Emon</v>
      </c>
    </row>
    <row r="8" spans="1:5" x14ac:dyDescent="0.3">
      <c r="A8" s="11">
        <v>120</v>
      </c>
      <c r="B8">
        <f t="shared" si="0"/>
        <v>5</v>
      </c>
      <c r="C8">
        <f t="shared" si="1"/>
        <v>600</v>
      </c>
      <c r="D8" t="str">
        <f t="shared" si="2"/>
        <v>Bodrul</v>
      </c>
    </row>
    <row r="9" spans="1:5" x14ac:dyDescent="0.3">
      <c r="A9" s="11">
        <v>85</v>
      </c>
      <c r="B9">
        <f t="shared" si="0"/>
        <v>5</v>
      </c>
      <c r="C9">
        <f t="shared" si="1"/>
        <v>425</v>
      </c>
      <c r="D9" t="str">
        <f t="shared" si="2"/>
        <v>Bodrul</v>
      </c>
    </row>
    <row r="10" spans="1:5" x14ac:dyDescent="0.3">
      <c r="A10" s="11">
        <v>190</v>
      </c>
      <c r="B10">
        <f t="shared" si="0"/>
        <v>10</v>
      </c>
      <c r="C10">
        <f t="shared" si="1"/>
        <v>1900</v>
      </c>
      <c r="D10" t="str">
        <f t="shared" si="2"/>
        <v>PK</v>
      </c>
    </row>
    <row r="11" spans="1:5" x14ac:dyDescent="0.3">
      <c r="A11" s="11">
        <v>95</v>
      </c>
      <c r="B11">
        <f t="shared" si="0"/>
        <v>5</v>
      </c>
      <c r="C11">
        <f t="shared" si="1"/>
        <v>475</v>
      </c>
      <c r="D11" t="str">
        <f t="shared" si="2"/>
        <v>Bodrul</v>
      </c>
    </row>
    <row r="12" spans="1:5" x14ac:dyDescent="0.3">
      <c r="A12" s="11">
        <v>100</v>
      </c>
      <c r="B12">
        <f t="shared" si="0"/>
        <v>5</v>
      </c>
      <c r="C12">
        <f t="shared" si="1"/>
        <v>500</v>
      </c>
      <c r="D12" t="str">
        <f t="shared" si="2"/>
        <v>Bodrul</v>
      </c>
    </row>
    <row r="13" spans="1:5" x14ac:dyDescent="0.3">
      <c r="A13" s="11">
        <v>205</v>
      </c>
      <c r="B13">
        <f t="shared" si="0"/>
        <v>10</v>
      </c>
      <c r="C13">
        <f t="shared" si="1"/>
        <v>2050</v>
      </c>
      <c r="D13" t="str">
        <f t="shared" si="2"/>
        <v>PK</v>
      </c>
    </row>
    <row r="14" spans="1:5" x14ac:dyDescent="0.3">
      <c r="A14" s="11">
        <v>160</v>
      </c>
      <c r="B14">
        <f t="shared" si="0"/>
        <v>10</v>
      </c>
      <c r="C14">
        <f t="shared" si="1"/>
        <v>1600</v>
      </c>
      <c r="D14" t="str">
        <f t="shared" si="2"/>
        <v>PK</v>
      </c>
    </row>
    <row r="15" spans="1:5" x14ac:dyDescent="0.3">
      <c r="A15" s="11">
        <v>165</v>
      </c>
      <c r="B15">
        <f t="shared" si="0"/>
        <v>10</v>
      </c>
      <c r="C15">
        <f t="shared" si="1"/>
        <v>1650</v>
      </c>
      <c r="D15" t="str">
        <f t="shared" si="2"/>
        <v>PK</v>
      </c>
    </row>
    <row r="16" spans="1:5" x14ac:dyDescent="0.3">
      <c r="A16" s="11">
        <v>170</v>
      </c>
      <c r="B16">
        <f t="shared" si="0"/>
        <v>10</v>
      </c>
      <c r="C16">
        <f t="shared" si="1"/>
        <v>1700</v>
      </c>
      <c r="D16" t="str">
        <f t="shared" si="2"/>
        <v>PK</v>
      </c>
    </row>
    <row r="17" spans="1:4" x14ac:dyDescent="0.3">
      <c r="A17" s="11">
        <v>175</v>
      </c>
      <c r="B17">
        <f t="shared" si="0"/>
        <v>10</v>
      </c>
      <c r="C17">
        <f t="shared" si="1"/>
        <v>1750</v>
      </c>
      <c r="D17" t="str">
        <f t="shared" si="2"/>
        <v>PK</v>
      </c>
    </row>
    <row r="18" spans="1:4" x14ac:dyDescent="0.3">
      <c r="A18" s="11">
        <v>180</v>
      </c>
      <c r="B18">
        <f t="shared" si="0"/>
        <v>10</v>
      </c>
      <c r="C18">
        <f t="shared" si="1"/>
        <v>1800</v>
      </c>
      <c r="D18" t="str">
        <f t="shared" si="2"/>
        <v>PK</v>
      </c>
    </row>
    <row r="19" spans="1:4" x14ac:dyDescent="0.3">
      <c r="A19" s="11">
        <v>185</v>
      </c>
      <c r="B19">
        <f t="shared" si="0"/>
        <v>10</v>
      </c>
      <c r="C19">
        <f t="shared" si="1"/>
        <v>1850</v>
      </c>
      <c r="D19" t="str">
        <f t="shared" si="2"/>
        <v>PK</v>
      </c>
    </row>
    <row r="20" spans="1:4" x14ac:dyDescent="0.3">
      <c r="A20" s="11">
        <v>190</v>
      </c>
      <c r="B20">
        <f t="shared" si="0"/>
        <v>10</v>
      </c>
      <c r="C20">
        <f t="shared" si="1"/>
        <v>1900</v>
      </c>
      <c r="D20" t="str">
        <f t="shared" si="2"/>
        <v>PK</v>
      </c>
    </row>
    <row r="21" spans="1:4" x14ac:dyDescent="0.3">
      <c r="A21" s="11">
        <v>195</v>
      </c>
      <c r="B21">
        <f t="shared" si="0"/>
        <v>10</v>
      </c>
      <c r="C21">
        <f t="shared" si="1"/>
        <v>1950</v>
      </c>
      <c r="D21" t="str">
        <f t="shared" si="2"/>
        <v>PK</v>
      </c>
    </row>
    <row r="22" spans="1:4" x14ac:dyDescent="0.3">
      <c r="A22" s="11">
        <v>200</v>
      </c>
      <c r="B22">
        <f t="shared" si="0"/>
        <v>10</v>
      </c>
      <c r="C22">
        <f t="shared" si="1"/>
        <v>2000</v>
      </c>
      <c r="D22" t="str">
        <f t="shared" si="2"/>
        <v>PK</v>
      </c>
    </row>
    <row r="23" spans="1:4" x14ac:dyDescent="0.3">
      <c r="A23" s="11">
        <v>205</v>
      </c>
      <c r="B23">
        <f t="shared" si="0"/>
        <v>10</v>
      </c>
      <c r="C23">
        <f t="shared" si="1"/>
        <v>2050</v>
      </c>
      <c r="D23" t="str">
        <f t="shared" si="2"/>
        <v>PK</v>
      </c>
    </row>
    <row r="24" spans="1:4" x14ac:dyDescent="0.3">
      <c r="A24" s="11">
        <v>210</v>
      </c>
      <c r="B24">
        <f t="shared" si="0"/>
        <v>13</v>
      </c>
      <c r="C24">
        <f t="shared" si="1"/>
        <v>2730</v>
      </c>
      <c r="D24" t="str">
        <f t="shared" si="2"/>
        <v>Jui</v>
      </c>
    </row>
    <row r="25" spans="1:4" x14ac:dyDescent="0.3">
      <c r="A25" s="11">
        <v>215</v>
      </c>
      <c r="B25">
        <f t="shared" si="0"/>
        <v>13</v>
      </c>
      <c r="C25">
        <f t="shared" si="1"/>
        <v>2795</v>
      </c>
      <c r="D25" t="str">
        <f t="shared" si="2"/>
        <v>Jui</v>
      </c>
    </row>
    <row r="26" spans="1:4" x14ac:dyDescent="0.3">
      <c r="A26" s="11">
        <v>220</v>
      </c>
      <c r="B26">
        <f t="shared" si="0"/>
        <v>13</v>
      </c>
      <c r="C26">
        <f t="shared" si="1"/>
        <v>2860</v>
      </c>
      <c r="D26" t="str">
        <f t="shared" si="2"/>
        <v>Jui</v>
      </c>
    </row>
    <row r="27" spans="1:4" x14ac:dyDescent="0.3">
      <c r="A27" s="11">
        <v>225</v>
      </c>
      <c r="B27">
        <f t="shared" si="0"/>
        <v>13</v>
      </c>
      <c r="C27">
        <f t="shared" si="1"/>
        <v>2925</v>
      </c>
      <c r="D27" t="str">
        <f t="shared" si="2"/>
        <v>Jui</v>
      </c>
    </row>
    <row r="28" spans="1:4" x14ac:dyDescent="0.3">
      <c r="A28" s="11">
        <v>231.47692307692299</v>
      </c>
      <c r="B28">
        <f t="shared" si="0"/>
        <v>13</v>
      </c>
      <c r="C28">
        <f t="shared" si="1"/>
        <v>3009.1999999999989</v>
      </c>
      <c r="D28" t="str">
        <f t="shared" si="2"/>
        <v>Jui</v>
      </c>
    </row>
    <row r="29" spans="1:4" x14ac:dyDescent="0.3">
      <c r="A29" s="11">
        <v>236.92820512820501</v>
      </c>
      <c r="B29">
        <f t="shared" si="0"/>
        <v>13</v>
      </c>
      <c r="C29">
        <f t="shared" si="1"/>
        <v>3080.0666666666652</v>
      </c>
      <c r="D29" t="str">
        <f t="shared" si="2"/>
        <v>Jui</v>
      </c>
    </row>
    <row r="30" spans="1:4" x14ac:dyDescent="0.3">
      <c r="A30" s="11">
        <v>242.379487179487</v>
      </c>
      <c r="B30">
        <f t="shared" si="0"/>
        <v>15</v>
      </c>
      <c r="C30">
        <f t="shared" si="1"/>
        <v>3635.6923076923049</v>
      </c>
      <c r="D30" t="str">
        <f t="shared" si="2"/>
        <v>Miskatul</v>
      </c>
    </row>
    <row r="31" spans="1:4" x14ac:dyDescent="0.3">
      <c r="A31" s="11">
        <v>247.83076923076899</v>
      </c>
      <c r="B31">
        <f t="shared" si="0"/>
        <v>15</v>
      </c>
      <c r="C31">
        <f t="shared" si="1"/>
        <v>3717.4615384615349</v>
      </c>
      <c r="D31" t="str">
        <f t="shared" si="2"/>
        <v>Miskatul</v>
      </c>
    </row>
    <row r="32" spans="1:4" x14ac:dyDescent="0.3">
      <c r="A32" s="11">
        <v>253.28205128205099</v>
      </c>
      <c r="B32">
        <f t="shared" si="0"/>
        <v>20</v>
      </c>
      <c r="C32">
        <f t="shared" si="1"/>
        <v>5065.64102564102</v>
      </c>
      <c r="D32" t="str">
        <f t="shared" si="2"/>
        <v>Rehana</v>
      </c>
    </row>
    <row r="33" spans="1:4" x14ac:dyDescent="0.3">
      <c r="A33" s="11">
        <v>258.73333333333397</v>
      </c>
      <c r="B33">
        <f t="shared" si="0"/>
        <v>20</v>
      </c>
      <c r="C33">
        <f t="shared" si="1"/>
        <v>5174.6666666666797</v>
      </c>
      <c r="D33" t="str">
        <f t="shared" si="2"/>
        <v>Rehana</v>
      </c>
    </row>
    <row r="34" spans="1:4" x14ac:dyDescent="0.3">
      <c r="A34" s="11">
        <v>264.184615384616</v>
      </c>
      <c r="B34">
        <f t="shared" si="0"/>
        <v>20</v>
      </c>
      <c r="C34">
        <f t="shared" si="1"/>
        <v>5283.6923076923194</v>
      </c>
      <c r="D34" t="str">
        <f t="shared" si="2"/>
        <v>Rehana</v>
      </c>
    </row>
    <row r="35" spans="1:4" x14ac:dyDescent="0.3">
      <c r="A35" s="11">
        <v>269.63589743589802</v>
      </c>
      <c r="B35">
        <f t="shared" si="0"/>
        <v>20</v>
      </c>
      <c r="C35">
        <f t="shared" si="1"/>
        <v>5392.7179487179601</v>
      </c>
      <c r="D35" t="str">
        <f t="shared" si="2"/>
        <v>Rehana</v>
      </c>
    </row>
    <row r="36" spans="1:4" x14ac:dyDescent="0.3">
      <c r="A36" s="11">
        <v>275.08717948717998</v>
      </c>
      <c r="B36">
        <f t="shared" si="0"/>
        <v>20</v>
      </c>
      <c r="C36">
        <f t="shared" si="1"/>
        <v>5501.7435897435998</v>
      </c>
      <c r="D36" t="str">
        <f t="shared" si="2"/>
        <v>Rehana</v>
      </c>
    </row>
    <row r="37" spans="1:4" x14ac:dyDescent="0.3">
      <c r="A37" s="11">
        <v>280.538461538462</v>
      </c>
      <c r="B37">
        <f t="shared" si="0"/>
        <v>20</v>
      </c>
      <c r="C37">
        <f t="shared" si="1"/>
        <v>5610.7692307692396</v>
      </c>
      <c r="D37" t="str">
        <f t="shared" si="2"/>
        <v>Rehana</v>
      </c>
    </row>
    <row r="38" spans="1:4" x14ac:dyDescent="0.3">
      <c r="A38" s="11">
        <v>285.98974358974402</v>
      </c>
      <c r="B38">
        <f t="shared" si="0"/>
        <v>20</v>
      </c>
      <c r="C38">
        <f t="shared" si="1"/>
        <v>5719.7948717948802</v>
      </c>
      <c r="D38" t="str">
        <f t="shared" si="2"/>
        <v>Rehana</v>
      </c>
    </row>
    <row r="39" spans="1:4" x14ac:dyDescent="0.3">
      <c r="A39" s="11">
        <v>291.44102564102599</v>
      </c>
      <c r="B39">
        <f t="shared" si="0"/>
        <v>20</v>
      </c>
      <c r="C39">
        <f t="shared" si="1"/>
        <v>5828.82051282052</v>
      </c>
      <c r="D39" t="str">
        <f t="shared" si="2"/>
        <v>Rehana</v>
      </c>
    </row>
    <row r="40" spans="1:4" x14ac:dyDescent="0.3">
      <c r="A40" s="11">
        <v>296.89230769230801</v>
      </c>
      <c r="B40">
        <f t="shared" si="0"/>
        <v>20</v>
      </c>
      <c r="C40">
        <f t="shared" si="1"/>
        <v>5937.8461538461597</v>
      </c>
      <c r="D40" t="str">
        <f t="shared" si="2"/>
        <v>Rehana</v>
      </c>
    </row>
    <row r="41" spans="1:4" x14ac:dyDescent="0.3">
      <c r="A41" s="11">
        <v>254</v>
      </c>
      <c r="B41">
        <f t="shared" si="0"/>
        <v>20</v>
      </c>
      <c r="C41">
        <f t="shared" si="1"/>
        <v>5080</v>
      </c>
      <c r="D41" t="str">
        <f t="shared" si="2"/>
        <v>Rehana</v>
      </c>
    </row>
    <row r="42" spans="1:4" x14ac:dyDescent="0.3">
      <c r="A42" s="11">
        <v>457</v>
      </c>
      <c r="B42">
        <f t="shared" si="0"/>
        <v>20</v>
      </c>
      <c r="C42">
        <f t="shared" si="1"/>
        <v>9140</v>
      </c>
      <c r="D42" t="str">
        <f t="shared" si="2"/>
        <v>Rehana</v>
      </c>
    </row>
    <row r="43" spans="1:4" x14ac:dyDescent="0.3">
      <c r="A43" s="11">
        <v>8</v>
      </c>
      <c r="B43">
        <f t="shared" si="0"/>
        <v>2.5</v>
      </c>
      <c r="C43">
        <f t="shared" si="1"/>
        <v>20</v>
      </c>
      <c r="D43" t="str">
        <f t="shared" si="2"/>
        <v>Emon</v>
      </c>
    </row>
    <row r="44" spans="1:4" x14ac:dyDescent="0.3">
      <c r="A44" s="11">
        <v>77</v>
      </c>
      <c r="B44">
        <f t="shared" si="0"/>
        <v>2.5</v>
      </c>
      <c r="C44">
        <f t="shared" si="1"/>
        <v>192.5</v>
      </c>
      <c r="D44" t="str">
        <f t="shared" si="2"/>
        <v>Emon</v>
      </c>
    </row>
    <row r="45" spans="1:4" x14ac:dyDescent="0.3">
      <c r="A45" s="11">
        <v>78</v>
      </c>
      <c r="B45">
        <f t="shared" si="0"/>
        <v>2.5</v>
      </c>
      <c r="C45">
        <f t="shared" si="1"/>
        <v>195</v>
      </c>
      <c r="D45" t="str">
        <f t="shared" si="2"/>
        <v>Emon</v>
      </c>
    </row>
    <row r="46" spans="1:4" x14ac:dyDescent="0.3">
      <c r="A46" s="11">
        <v>45</v>
      </c>
      <c r="B46">
        <f t="shared" si="0"/>
        <v>2.5</v>
      </c>
      <c r="C46">
        <f t="shared" si="1"/>
        <v>112.5</v>
      </c>
      <c r="D46" t="str">
        <f t="shared" si="2"/>
        <v>Emon</v>
      </c>
    </row>
    <row r="47" spans="1:4" x14ac:dyDescent="0.3">
      <c r="A47" s="11">
        <v>47</v>
      </c>
      <c r="B47">
        <f t="shared" si="0"/>
        <v>2.5</v>
      </c>
      <c r="C47">
        <f t="shared" si="1"/>
        <v>117.5</v>
      </c>
      <c r="D47" t="str">
        <f t="shared" si="2"/>
        <v>Emon</v>
      </c>
    </row>
    <row r="48" spans="1:4" x14ac:dyDescent="0.3">
      <c r="A48" s="11">
        <v>445</v>
      </c>
      <c r="B48">
        <f t="shared" si="0"/>
        <v>20</v>
      </c>
      <c r="C48">
        <f t="shared" si="1"/>
        <v>8900</v>
      </c>
      <c r="D48" t="str">
        <f t="shared" si="2"/>
        <v>Rehana</v>
      </c>
    </row>
    <row r="49" spans="1:4" x14ac:dyDescent="0.3">
      <c r="A49" s="11">
        <v>45</v>
      </c>
      <c r="B49">
        <f t="shared" si="0"/>
        <v>2.5</v>
      </c>
      <c r="C49">
        <f t="shared" si="1"/>
        <v>112.5</v>
      </c>
      <c r="D49" t="str">
        <f t="shared" si="2"/>
        <v>Emon</v>
      </c>
    </row>
    <row r="50" spans="1:4" x14ac:dyDescent="0.3">
      <c r="A50" s="11">
        <v>15</v>
      </c>
      <c r="B50">
        <f t="shared" si="0"/>
        <v>2.5</v>
      </c>
      <c r="C50">
        <f t="shared" si="1"/>
        <v>37.5</v>
      </c>
      <c r="D50" t="str">
        <f t="shared" si="2"/>
        <v>Emon</v>
      </c>
    </row>
    <row r="51" spans="1:4" x14ac:dyDescent="0.3">
      <c r="A51" s="11">
        <v>45</v>
      </c>
      <c r="B51">
        <f t="shared" si="0"/>
        <v>2.5</v>
      </c>
      <c r="C51">
        <f t="shared" si="1"/>
        <v>112.5</v>
      </c>
      <c r="D51" t="str">
        <f t="shared" si="2"/>
        <v>Emon</v>
      </c>
    </row>
  </sheetData>
  <conditionalFormatting sqref="B2:B51">
    <cfRule type="cellIs" dxfId="0" priority="3" operator="greaterThan">
      <formula>2.5</formula>
    </cfRule>
    <cfRule type="cellIs" dxfId="1" priority="2" operator="greaterThan">
      <formula>3.5</formula>
    </cfRule>
    <cfRule type="cellIs" dxfId="2" priority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2025-11-16T15:14:45Z</dcterms:created>
  <dcterms:modified xsi:type="dcterms:W3CDTF">2025-11-18T18:33:00Z</dcterms:modified>
</cp:coreProperties>
</file>